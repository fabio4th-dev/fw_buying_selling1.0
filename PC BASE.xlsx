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OneDrive - Unyleya Editora E Cursos S.a\Documentos\FW (Fabio)\DEV's\FW Compras 1.0\fw_buying_selling1.0_rev00\"/>
    </mc:Choice>
  </mc:AlternateContent>
  <xr:revisionPtr revIDLastSave="0" documentId="13_ncr:1_{1EDE8803-DFE8-4EA5-9090-36B1472029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definedNames>
    <definedName name="_xlnm.Print_Area" localSheetId="0">Plan1!$B$2:$G$43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6" i="1" l="1"/>
  <c r="F27" i="1"/>
  <c r="F28" i="1"/>
  <c r="F29" i="1"/>
  <c r="F30" i="1"/>
  <c r="F25" i="1"/>
  <c r="F24" i="1" l="1"/>
  <c r="F34" i="1" s="1"/>
  <c r="F38" i="1" l="1"/>
</calcChain>
</file>

<file path=xl/sharedStrings.xml><?xml version="1.0" encoding="utf-8"?>
<sst xmlns="http://schemas.openxmlformats.org/spreadsheetml/2006/main" count="58" uniqueCount="51">
  <si>
    <t>PEDIDO DE COMPRA</t>
  </si>
  <si>
    <t>MONTAGENS E INSTALAÇÕES INDUSTRIAIS</t>
  </si>
  <si>
    <t>FATURAMENTO:</t>
  </si>
  <si>
    <t>Inscrição Estadual: 165.421.224.112</t>
  </si>
  <si>
    <t>Rua Da Urca, 187  - Americana/SP – CEP: 13.471-360</t>
  </si>
  <si>
    <t>Telefone: 19 – 3462 5610/3406 4297</t>
  </si>
  <si>
    <t>DATA DO PEDIDO:</t>
  </si>
  <si>
    <t>QUANT</t>
  </si>
  <si>
    <t>DESCRIÇÃO</t>
  </si>
  <si>
    <t>PREÇO UNITÁRIO</t>
  </si>
  <si>
    <t>TOTAL</t>
  </si>
  <si>
    <t>IPI</t>
  </si>
  <si>
    <t>SUBTOTAL</t>
  </si>
  <si>
    <t>Autorização</t>
  </si>
  <si>
    <t xml:space="preserve">Claudinei Alves Ferreira                        </t>
  </si>
  <si>
    <t>UNID.</t>
  </si>
  <si>
    <t>Comprador</t>
  </si>
  <si>
    <t xml:space="preserve">Fornecedor: </t>
  </si>
  <si>
    <t xml:space="preserve">Requisitante: </t>
  </si>
  <si>
    <t>F.W. COMPANY COMERCIO DE MAT HIDRAULICO E SERVICE</t>
  </si>
  <si>
    <t>CNPJ: 01.864.998/0001-35</t>
  </si>
  <si>
    <t>CNPJ:  01.864.998/0001-35</t>
  </si>
  <si>
    <t>Condições de Pagamento:</t>
  </si>
  <si>
    <t>Forma de Pagamento:</t>
  </si>
  <si>
    <t xml:space="preserve">    Agencia:</t>
  </si>
  <si>
    <t xml:space="preserve">Conta Corrente: </t>
  </si>
  <si>
    <r>
      <rPr>
        <b/>
        <sz val="8"/>
        <color theme="1"/>
        <rFont val="Tahoma"/>
        <family val="2"/>
      </rPr>
      <t xml:space="preserve">Banco:    </t>
    </r>
    <r>
      <rPr>
        <sz val="8"/>
        <color theme="1"/>
        <rFont val="Tahoma"/>
        <family val="2"/>
      </rPr>
      <t xml:space="preserve">     </t>
    </r>
  </si>
  <si>
    <t>Carolina Oliveira</t>
  </si>
  <si>
    <t xml:space="preserve">Centro de Custo:                  </t>
  </si>
  <si>
    <t>Favorecido:</t>
  </si>
  <si>
    <t>und</t>
  </si>
  <si>
    <t>IMPOSTO (IPI)</t>
  </si>
  <si>
    <t>FRETE</t>
  </si>
  <si>
    <t>DESCONTO</t>
  </si>
  <si>
    <t>Empresa: Zagar Comercio de Ferramentas e Ferragens LTDA EPP</t>
  </si>
  <si>
    <t>Telefone: (14) 99127-0624</t>
  </si>
  <si>
    <t>Vendedor: Robinson</t>
  </si>
  <si>
    <t>Boleto</t>
  </si>
  <si>
    <t xml:space="preserve">PC 4501089929 - ANDRITZ - Bracell Lençóis Paulista - Montagem Tissue
</t>
  </si>
  <si>
    <t xml:space="preserve">               05/04/2024</t>
  </si>
  <si>
    <r>
      <t>O número do Pedido deve constar na Nota Fiscal</t>
    </r>
    <r>
      <rPr>
        <b/>
        <sz val="8"/>
        <color theme="1"/>
        <rFont val="Tahoma"/>
        <family val="2"/>
      </rPr>
      <t>: 233178</t>
    </r>
  </si>
  <si>
    <t>NF - 233178</t>
  </si>
  <si>
    <t>TRENA 5M LUFKIN</t>
  </si>
  <si>
    <t>BALDE PLAST PEDREIRO 12L</t>
  </si>
  <si>
    <t>FUNIL FLEX PLAST</t>
  </si>
  <si>
    <t>ENGATE RAPIDO PVC 1/2 TRAPP DY_x0002_</t>
  </si>
  <si>
    <t>PINO ENGATE PVC 1/2 ADAPTAD</t>
  </si>
  <si>
    <t>MANG JARDIM FLEX 1/2X2,5 TRANC</t>
  </si>
  <si>
    <t>NIVEL BASE MAGNETICA KALA 30CM</t>
  </si>
  <si>
    <t>Nº DO PEDIDO:  38454</t>
  </si>
  <si>
    <t xml:space="preserve">                Fabio Mendes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</si>
</sst>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&quot; R$&quot;#,##0.00\ ;&quot; R$(&quot;#,##0.00\);&quot; R$-&quot;#\ ;@\ "/>
    <numFmt numFmtId="166" formatCode="_(&quot;R$ &quot;* #,##0.00_);_(&quot;R$ &quot;* \(#,##0.00\);_(&quot;R$ &quot;*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.5"/>
      <color theme="1"/>
      <name val="Tahoma"/>
      <family val="2"/>
    </font>
    <font>
      <b/>
      <sz val="20"/>
      <color rgb="FF808080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8"/>
      <color rgb="FF000000"/>
      <name val="Tahoma"/>
      <family val="2"/>
    </font>
    <font>
      <b/>
      <sz val="14"/>
      <name val="Tahoma"/>
      <family val="2"/>
    </font>
    <font>
      <sz val="10"/>
      <name val="Arial"/>
      <family val="2"/>
    </font>
    <font>
      <sz val="8"/>
      <name val="Tahoma"/>
      <family val="2"/>
    </font>
    <font>
      <sz val="8"/>
      <color rgb="FFFF0000"/>
      <name val="Tahoma"/>
      <family val="2"/>
    </font>
    <font>
      <sz val="9"/>
      <name val="Calibri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1">
    <xf numFmtId="0" fontId="0" fillId="0" borderId="0"/>
    <xf numFmtId="44" fontId="1" fillId="0" borderId="0" applyFont="0" applyFill="0" applyBorder="0" applyAlignment="0" applyProtection="0"/>
    <xf numFmtId="0" fontId="10" fillId="0" borderId="0"/>
    <xf numFmtId="0" fontId="10" fillId="0" borderId="0">
      <alignment horizontal="centerContinuous" vertical="justify"/>
    </xf>
    <xf numFmtId="165" fontId="10" fillId="0" borderId="0" applyFont="0" applyFill="0" applyAlignment="0" applyProtection="0"/>
    <xf numFmtId="166" fontId="10" fillId="0" borderId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109">
    <xf numFmtId="0" fontId="0" fillId="0" borderId="0" xfId="0"/>
    <xf numFmtId="0" fontId="2" fillId="0" borderId="0" xfId="0" applyFont="1" applyAlignment="1">
      <alignment vertical="center"/>
    </xf>
    <xf numFmtId="0" fontId="2" fillId="2" borderId="9" xfId="0" applyFont="1" applyFill="1" applyBorder="1" applyAlignment="1">
      <alignment vertical="center"/>
    </xf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3" fillId="2" borderId="13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0" fillId="2" borderId="0" xfId="0" applyFill="1"/>
    <xf numFmtId="0" fontId="0" fillId="2" borderId="13" xfId="0" applyFill="1" applyBorder="1"/>
    <xf numFmtId="0" fontId="2" fillId="2" borderId="12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 wrapText="1"/>
    </xf>
    <xf numFmtId="0" fontId="5" fillId="2" borderId="12" xfId="0" applyFont="1" applyFill="1" applyBorder="1" applyAlignment="1">
      <alignment vertical="center"/>
    </xf>
    <xf numFmtId="0" fontId="5" fillId="2" borderId="13" xfId="0" applyFont="1" applyFill="1" applyBorder="1"/>
    <xf numFmtId="0" fontId="5" fillId="2" borderId="12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top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/>
    <xf numFmtId="0" fontId="5" fillId="2" borderId="12" xfId="0" applyFont="1" applyFill="1" applyBorder="1"/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vertical="top" wrapText="1"/>
    </xf>
    <xf numFmtId="0" fontId="8" fillId="2" borderId="12" xfId="0" applyFont="1" applyFill="1" applyBorder="1"/>
    <xf numFmtId="0" fontId="5" fillId="2" borderId="14" xfId="0" applyFont="1" applyFill="1" applyBorder="1"/>
    <xf numFmtId="0" fontId="5" fillId="2" borderId="14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11" fillId="2" borderId="0" xfId="0" applyFont="1" applyFill="1" applyAlignment="1">
      <alignment horizontal="left"/>
    </xf>
    <xf numFmtId="0" fontId="2" fillId="2" borderId="14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5" xfId="0" applyFill="1" applyBorder="1"/>
    <xf numFmtId="0" fontId="11" fillId="2" borderId="0" xfId="0" applyFont="1" applyFill="1"/>
    <xf numFmtId="4" fontId="5" fillId="2" borderId="13" xfId="0" applyNumberFormat="1" applyFont="1" applyFill="1" applyBorder="1" applyAlignment="1">
      <alignment horizontal="left"/>
    </xf>
    <xf numFmtId="0" fontId="5" fillId="2" borderId="1" xfId="0" applyFont="1" applyFill="1" applyBorder="1"/>
    <xf numFmtId="44" fontId="0" fillId="0" borderId="0" xfId="1" applyFont="1"/>
    <xf numFmtId="44" fontId="5" fillId="0" borderId="2" xfId="1" applyFont="1" applyBorder="1" applyAlignment="1">
      <alignment horizontal="center" vertical="center" wrapText="1"/>
    </xf>
    <xf numFmtId="9" fontId="5" fillId="0" borderId="4" xfId="0" applyNumberFormat="1" applyFont="1" applyBorder="1" applyAlignment="1">
      <alignment horizontal="center" vertical="center" wrapText="1"/>
    </xf>
    <xf numFmtId="44" fontId="0" fillId="2" borderId="0" xfId="1" applyFont="1" applyFill="1"/>
    <xf numFmtId="44" fontId="0" fillId="2" borderId="10" xfId="1" applyFont="1" applyFill="1" applyBorder="1"/>
    <xf numFmtId="44" fontId="5" fillId="2" borderId="0" xfId="1" applyFont="1" applyFill="1"/>
    <xf numFmtId="44" fontId="4" fillId="2" borderId="0" xfId="1" applyFont="1" applyFill="1" applyAlignment="1">
      <alignment vertical="center" wrapText="1"/>
    </xf>
    <xf numFmtId="44" fontId="5" fillId="2" borderId="0" xfId="1" applyFont="1" applyFill="1" applyAlignment="1">
      <alignment vertical="center" wrapText="1"/>
    </xf>
    <xf numFmtId="44" fontId="11" fillId="2" borderId="0" xfId="1" applyFont="1" applyFill="1"/>
    <xf numFmtId="44" fontId="5" fillId="2" borderId="1" xfId="1" applyFont="1" applyFill="1" applyBorder="1"/>
    <xf numFmtId="44" fontId="5" fillId="0" borderId="2" xfId="1" applyFont="1" applyBorder="1"/>
    <xf numFmtId="44" fontId="5" fillId="0" borderId="6" xfId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9" fontId="5" fillId="0" borderId="4" xfId="0" applyNumberFormat="1" applyFont="1" applyBorder="1" applyAlignment="1">
      <alignment horizontal="center"/>
    </xf>
    <xf numFmtId="0" fontId="14" fillId="0" borderId="3" xfId="0" applyFont="1" applyBorder="1"/>
    <xf numFmtId="0" fontId="5" fillId="0" borderId="6" xfId="0" applyFont="1" applyBorder="1" applyAlignment="1">
      <alignment horizontal="center"/>
    </xf>
    <xf numFmtId="9" fontId="5" fillId="0" borderId="7" xfId="0" applyNumberFormat="1" applyFont="1" applyBorder="1" applyAlignment="1">
      <alignment horizontal="center"/>
    </xf>
    <xf numFmtId="0" fontId="14" fillId="0" borderId="5" xfId="0" applyFont="1" applyBorder="1"/>
    <xf numFmtId="44" fontId="5" fillId="0" borderId="8" xfId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left" vertical="center" wrapText="1"/>
    </xf>
    <xf numFmtId="44" fontId="5" fillId="0" borderId="8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44" fontId="4" fillId="0" borderId="18" xfId="1" applyFont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13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44" fontId="5" fillId="0" borderId="2" xfId="1" applyFont="1" applyBorder="1" applyAlignment="1">
      <alignment horizontal="center" vertical="center" wrapText="1"/>
    </xf>
    <xf numFmtId="44" fontId="5" fillId="0" borderId="4" xfId="1" applyFont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44" fontId="5" fillId="0" borderId="8" xfId="1" applyFont="1" applyBorder="1" applyAlignment="1">
      <alignment horizontal="center" vertical="center" wrapText="1"/>
    </xf>
    <xf numFmtId="44" fontId="5" fillId="0" borderId="17" xfId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4" fontId="12" fillId="2" borderId="0" xfId="0" applyNumberFormat="1" applyFont="1" applyFill="1" applyAlignment="1">
      <alignment horizontal="center"/>
    </xf>
    <xf numFmtId="0" fontId="12" fillId="2" borderId="13" xfId="0" applyFont="1" applyFill="1" applyBorder="1" applyAlignment="1">
      <alignment horizont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top" wrapText="1"/>
    </xf>
    <xf numFmtId="0" fontId="4" fillId="2" borderId="13" xfId="0" applyFont="1" applyFill="1" applyBorder="1" applyAlignment="1">
      <alignment horizontal="center" vertical="top" wrapText="1"/>
    </xf>
    <xf numFmtId="0" fontId="5" fillId="2" borderId="0" xfId="0" applyFont="1" applyFill="1" applyAlignment="1">
      <alignment horizontal="left"/>
    </xf>
    <xf numFmtId="0" fontId="5" fillId="2" borderId="13" xfId="0" applyFont="1" applyFill="1" applyBorder="1" applyAlignment="1">
      <alignment horizontal="left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14" fontId="5" fillId="2" borderId="0" xfId="0" applyNumberFormat="1" applyFont="1" applyFill="1" applyAlignment="1">
      <alignment horizontal="center"/>
    </xf>
    <xf numFmtId="14" fontId="5" fillId="2" borderId="13" xfId="0" applyNumberFormat="1" applyFont="1" applyFill="1" applyBorder="1" applyAlignment="1">
      <alignment horizontal="center"/>
    </xf>
    <xf numFmtId="0" fontId="5" fillId="2" borderId="0" xfId="0" applyFont="1" applyFill="1" applyAlignment="1">
      <alignment vertical="top"/>
    </xf>
    <xf numFmtId="0" fontId="5" fillId="2" borderId="13" xfId="0" applyFont="1" applyFill="1" applyBorder="1" applyAlignment="1">
      <alignment vertical="top"/>
    </xf>
    <xf numFmtId="0" fontId="5" fillId="2" borderId="13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44" fontId="13" fillId="0" borderId="6" xfId="1" applyFont="1" applyBorder="1" applyAlignment="1">
      <alignment horizontal="center" vertical="center" wrapText="1"/>
    </xf>
    <xf numFmtId="44" fontId="13" fillId="0" borderId="7" xfId="1" applyFont="1" applyBorder="1" applyAlignment="1">
      <alignment horizontal="center" vertical="center" wrapText="1"/>
    </xf>
  </cellXfs>
  <cellStyles count="31">
    <cellStyle name="material" xfId="3" xr:uid="{00000000-0005-0000-0000-000000000000}"/>
    <cellStyle name="Moeda" xfId="1" builtinId="4"/>
    <cellStyle name="Moeda 2" xfId="5" xr:uid="{00000000-0005-0000-0000-000002000000}"/>
    <cellStyle name="Moeda 2 2" xfId="6" xr:uid="{00000000-0005-0000-0000-000003000000}"/>
    <cellStyle name="Moeda 3" xfId="4" xr:uid="{00000000-0005-0000-0000-000004000000}"/>
    <cellStyle name="Moeda 4" xfId="26" xr:uid="{00000000-0005-0000-0000-000005000000}"/>
    <cellStyle name="Normal" xfId="0" builtinId="0"/>
    <cellStyle name="Normal 10" xfId="7" xr:uid="{00000000-0005-0000-0000-000007000000}"/>
    <cellStyle name="Normal 11" xfId="2" xr:uid="{00000000-0005-0000-0000-000008000000}"/>
    <cellStyle name="Normal 16" xfId="8" xr:uid="{00000000-0005-0000-0000-000009000000}"/>
    <cellStyle name="Normal 2" xfId="9" xr:uid="{00000000-0005-0000-0000-00000A000000}"/>
    <cellStyle name="Normal 2 17" xfId="10" xr:uid="{00000000-0005-0000-0000-00000B000000}"/>
    <cellStyle name="Normal 2 2" xfId="11" xr:uid="{00000000-0005-0000-0000-00000C000000}"/>
    <cellStyle name="Normal 2 3" xfId="12" xr:uid="{00000000-0005-0000-0000-00000D000000}"/>
    <cellStyle name="Normal 3" xfId="13" xr:uid="{00000000-0005-0000-0000-00000E000000}"/>
    <cellStyle name="Normal 3 2" xfId="14" xr:uid="{00000000-0005-0000-0000-00000F000000}"/>
    <cellStyle name="Normal 4" xfId="15" xr:uid="{00000000-0005-0000-0000-000010000000}"/>
    <cellStyle name="Normal 5" xfId="16" xr:uid="{00000000-0005-0000-0000-000011000000}"/>
    <cellStyle name="Normal 6" xfId="17" xr:uid="{00000000-0005-0000-0000-000012000000}"/>
    <cellStyle name="Normal 7" xfId="18" xr:uid="{00000000-0005-0000-0000-000013000000}"/>
    <cellStyle name="Normal 8" xfId="19" xr:uid="{00000000-0005-0000-0000-000014000000}"/>
    <cellStyle name="Normal 9" xfId="20" xr:uid="{00000000-0005-0000-0000-000015000000}"/>
    <cellStyle name="Porcentagem 2" xfId="21" xr:uid="{00000000-0005-0000-0000-000016000000}"/>
    <cellStyle name="Separador de milhares 2" xfId="22" xr:uid="{00000000-0005-0000-0000-000017000000}"/>
    <cellStyle name="Separador de milhares 2 2" xfId="27" xr:uid="{00000000-0005-0000-0000-000018000000}"/>
    <cellStyle name="Vírgula 2" xfId="23" xr:uid="{00000000-0005-0000-0000-000019000000}"/>
    <cellStyle name="Vírgula 2 2" xfId="28" xr:uid="{00000000-0005-0000-0000-00001A000000}"/>
    <cellStyle name="Vírgula 3" xfId="24" xr:uid="{00000000-0005-0000-0000-00001B000000}"/>
    <cellStyle name="Vírgula 3 2" xfId="29" xr:uid="{00000000-0005-0000-0000-00001C000000}"/>
    <cellStyle name="Vírgula 4" xfId="25" xr:uid="{00000000-0005-0000-0000-00001D000000}"/>
    <cellStyle name="Vírgula 4 2" xfId="30" xr:uid="{00000000-0005-0000-0000-00001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38099</xdr:rowOff>
    </xdr:from>
    <xdr:to>
      <xdr:col>1</xdr:col>
      <xdr:colOff>2276475</xdr:colOff>
      <xdr:row>4</xdr:row>
      <xdr:rowOff>9524</xdr:rowOff>
    </xdr:to>
    <xdr:sp macro="" textlink="">
      <xdr:nvSpPr>
        <xdr:cNvPr id="3" name="WordAr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85825" y="238124"/>
          <a:ext cx="2209800" cy="542925"/>
        </a:xfrm>
        <a:prstGeom prst="rect">
          <a:avLst/>
        </a:prstGeom>
        <a:extLst>
          <a:ext uri="{91240B29-F687-4F45-9708-019B960494DF}">
            <a14:hiddenLine xmlns:a14="http://schemas.microsoft.com/office/drawing/2010/main" w="19050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pt-BR" sz="3600" kern="10" spc="0">
              <a:ln>
                <a:noFill/>
              </a:ln>
              <a:solidFill>
                <a:srgbClr val="FF0000"/>
              </a:solidFill>
              <a:effectLst>
                <a:outerShdw dist="53882" dir="2700000" algn="ctr" rotWithShape="0">
                  <a:srgbClr val="333333"/>
                </a:outerShdw>
              </a:effectLst>
              <a:latin typeface="Impact"/>
            </a:rPr>
            <a:t>F.W. COMPANY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"/>
  <sheetViews>
    <sheetView tabSelected="1" zoomScaleNormal="100" workbookViewId="0">
      <selection activeCell="B6" sqref="B6"/>
    </sheetView>
  </sheetViews>
  <sheetFormatPr defaultRowHeight="15" x14ac:dyDescent="0.25"/>
  <cols>
    <col min="1" max="1" width="6.42578125" style="8" customWidth="1"/>
    <col min="2" max="2" width="45.85546875" customWidth="1"/>
    <col min="3" max="3" width="6.7109375" customWidth="1"/>
    <col min="4" max="4" width="7.7109375" customWidth="1"/>
    <col min="5" max="5" width="12.28515625" style="39" customWidth="1"/>
    <col min="6" max="6" width="21.5703125" customWidth="1"/>
    <col min="7" max="7" width="6" customWidth="1"/>
    <col min="8" max="12" width="9.140625" style="8"/>
    <col min="13" max="13" width="16.7109375" bestFit="1" customWidth="1"/>
  </cols>
  <sheetData>
    <row r="1" spans="2:19" ht="15.75" thickBot="1" x14ac:dyDescent="0.3">
      <c r="B1" s="8"/>
      <c r="C1" s="8"/>
      <c r="D1" s="8"/>
      <c r="E1" s="42"/>
      <c r="F1" s="8"/>
      <c r="G1" s="8"/>
    </row>
    <row r="2" spans="2:19" x14ac:dyDescent="0.25">
      <c r="B2" s="2"/>
      <c r="C2" s="3"/>
      <c r="D2" s="3"/>
      <c r="E2" s="43"/>
      <c r="F2" s="3"/>
      <c r="G2" s="4"/>
    </row>
    <row r="3" spans="2:19" ht="15" customHeight="1" x14ac:dyDescent="0.25">
      <c r="B3" s="5"/>
      <c r="C3" s="66" t="s">
        <v>0</v>
      </c>
      <c r="D3" s="66"/>
      <c r="E3" s="66"/>
      <c r="F3" s="66"/>
      <c r="G3" s="6"/>
    </row>
    <row r="4" spans="2:19" ht="15" customHeight="1" x14ac:dyDescent="0.25">
      <c r="B4" s="5"/>
      <c r="C4" s="66"/>
      <c r="D4" s="66"/>
      <c r="E4" s="66"/>
      <c r="F4" s="66"/>
      <c r="G4" s="6"/>
    </row>
    <row r="5" spans="2:19" x14ac:dyDescent="0.25">
      <c r="B5" s="7" t="s">
        <v>1</v>
      </c>
      <c r="C5" s="8"/>
      <c r="D5" s="8"/>
      <c r="E5" s="42"/>
      <c r="F5" s="8"/>
      <c r="G5" s="9"/>
    </row>
    <row r="6" spans="2:19" x14ac:dyDescent="0.25">
      <c r="B6" s="10"/>
      <c r="C6" s="8"/>
      <c r="D6" s="8"/>
      <c r="E6" s="42"/>
      <c r="F6" s="8"/>
      <c r="G6" s="9"/>
    </row>
    <row r="7" spans="2:19" ht="15" customHeight="1" x14ac:dyDescent="0.25">
      <c r="B7" s="31" t="s">
        <v>2</v>
      </c>
      <c r="C7" s="64" t="s">
        <v>49</v>
      </c>
      <c r="D7" s="64"/>
      <c r="E7" s="64"/>
      <c r="F7" s="64"/>
      <c r="G7" s="65"/>
    </row>
    <row r="8" spans="2:19" ht="24.75" customHeight="1" x14ac:dyDescent="0.25">
      <c r="B8" s="12" t="s">
        <v>19</v>
      </c>
      <c r="C8" s="67" t="s">
        <v>40</v>
      </c>
      <c r="D8" s="67"/>
      <c r="E8" s="67"/>
      <c r="F8" s="67"/>
      <c r="G8" s="13"/>
    </row>
    <row r="9" spans="2:19" ht="12.75" customHeight="1" x14ac:dyDescent="0.25">
      <c r="B9" s="14" t="s">
        <v>20</v>
      </c>
      <c r="C9" s="79" t="s">
        <v>28</v>
      </c>
      <c r="D9" s="79"/>
      <c r="E9" s="80" t="s">
        <v>38</v>
      </c>
      <c r="F9" s="80"/>
      <c r="G9" s="81"/>
    </row>
    <row r="10" spans="2:19" ht="12.75" customHeight="1" x14ac:dyDescent="0.25">
      <c r="B10" s="14" t="s">
        <v>3</v>
      </c>
      <c r="C10" s="18"/>
      <c r="D10" s="18"/>
      <c r="E10" s="80"/>
      <c r="F10" s="80"/>
      <c r="G10" s="81"/>
    </row>
    <row r="11" spans="2:19" ht="12.75" customHeight="1" x14ac:dyDescent="0.25">
      <c r="B11" s="14" t="s">
        <v>4</v>
      </c>
      <c r="C11" s="70" t="s">
        <v>18</v>
      </c>
      <c r="D11" s="70"/>
      <c r="E11" s="82" t="s">
        <v>50</v>
      </c>
      <c r="F11" s="82"/>
      <c r="G11" s="83"/>
    </row>
    <row r="12" spans="2:19" ht="12.75" customHeight="1" x14ac:dyDescent="0.25">
      <c r="B12" s="14" t="s">
        <v>5</v>
      </c>
      <c r="C12" s="15" t="s">
        <v>6</v>
      </c>
      <c r="D12" s="15"/>
      <c r="E12" s="84" t="s">
        <v>39</v>
      </c>
      <c r="F12" s="85"/>
      <c r="G12" s="86"/>
      <c r="Q12" s="87"/>
      <c r="R12" s="87"/>
      <c r="S12" s="87"/>
    </row>
    <row r="13" spans="2:19" ht="12.75" customHeight="1" x14ac:dyDescent="0.25">
      <c r="B13" s="14"/>
      <c r="C13" s="16"/>
      <c r="D13" s="17"/>
      <c r="E13" s="44"/>
      <c r="F13" s="18"/>
      <c r="G13" s="13"/>
      <c r="Q13" s="87"/>
      <c r="R13" s="87"/>
      <c r="S13" s="87"/>
    </row>
    <row r="14" spans="2:19" ht="12" customHeight="1" x14ac:dyDescent="0.25">
      <c r="B14" s="11" t="s">
        <v>17</v>
      </c>
      <c r="C14" s="15" t="s">
        <v>22</v>
      </c>
      <c r="D14" s="15"/>
      <c r="E14" s="44"/>
      <c r="F14" s="77">
        <v>45406</v>
      </c>
      <c r="G14" s="78"/>
      <c r="Q14" s="87"/>
      <c r="R14" s="87"/>
      <c r="S14" s="87"/>
    </row>
    <row r="15" spans="2:19" ht="12.75" customHeight="1" x14ac:dyDescent="0.25">
      <c r="B15" s="14" t="s">
        <v>34</v>
      </c>
      <c r="C15" s="99"/>
      <c r="D15" s="99"/>
      <c r="E15" s="99"/>
      <c r="F15" s="100"/>
      <c r="G15" s="101"/>
      <c r="Q15" s="87"/>
      <c r="R15" s="87"/>
      <c r="S15" s="87"/>
    </row>
    <row r="16" spans="2:19" ht="12.75" customHeight="1" x14ac:dyDescent="0.25">
      <c r="B16" s="14" t="s">
        <v>21</v>
      </c>
      <c r="C16" s="70" t="s">
        <v>23</v>
      </c>
      <c r="D16" s="70"/>
      <c r="E16" s="70"/>
      <c r="F16" s="97" t="s">
        <v>37</v>
      </c>
      <c r="G16" s="98"/>
    </row>
    <row r="17" spans="2:7" ht="12.75" customHeight="1" x14ac:dyDescent="0.25">
      <c r="B17" s="14" t="s">
        <v>35</v>
      </c>
      <c r="C17" s="17" t="s">
        <v>26</v>
      </c>
      <c r="D17" s="18"/>
      <c r="E17" s="45" t="s">
        <v>24</v>
      </c>
      <c r="F17" s="32"/>
      <c r="G17" s="13"/>
    </row>
    <row r="18" spans="2:7" ht="12.75" customHeight="1" x14ac:dyDescent="0.25">
      <c r="B18" s="14" t="s">
        <v>36</v>
      </c>
      <c r="C18" s="28" t="s">
        <v>25</v>
      </c>
      <c r="D18" s="17"/>
      <c r="E18" s="46"/>
      <c r="F18" s="18"/>
      <c r="G18" s="13"/>
    </row>
    <row r="19" spans="2:7" ht="12.75" customHeight="1" x14ac:dyDescent="0.25">
      <c r="B19" s="19"/>
      <c r="C19" s="70" t="s">
        <v>29</v>
      </c>
      <c r="D19" s="70"/>
      <c r="E19" s="47"/>
      <c r="F19" s="36"/>
      <c r="G19" s="37"/>
    </row>
    <row r="20" spans="2:7" ht="15.75" thickBot="1" x14ac:dyDescent="0.3">
      <c r="B20" s="33"/>
      <c r="C20" s="34"/>
      <c r="D20" s="34"/>
      <c r="E20" s="48"/>
      <c r="F20" s="38"/>
      <c r="G20" s="35"/>
    </row>
    <row r="21" spans="2:7" ht="21.75" thickBot="1" x14ac:dyDescent="0.3">
      <c r="B21" s="62" t="s">
        <v>8</v>
      </c>
      <c r="C21" s="62" t="s">
        <v>15</v>
      </c>
      <c r="D21" s="62" t="s">
        <v>7</v>
      </c>
      <c r="E21" s="63" t="s">
        <v>9</v>
      </c>
      <c r="F21" s="62" t="s">
        <v>10</v>
      </c>
      <c r="G21" s="62" t="s">
        <v>11</v>
      </c>
    </row>
    <row r="22" spans="2:7" x14ac:dyDescent="0.25">
      <c r="B22" s="59" t="s">
        <v>41</v>
      </c>
      <c r="C22" s="58"/>
      <c r="D22" s="58"/>
      <c r="E22" s="57"/>
      <c r="F22" s="60"/>
      <c r="G22" s="61"/>
    </row>
    <row r="23" spans="2:7" ht="16.5" customHeight="1" x14ac:dyDescent="0.25">
      <c r="B23" s="53"/>
      <c r="C23" s="29"/>
      <c r="D23" s="29"/>
      <c r="E23" s="40"/>
      <c r="F23" s="40"/>
      <c r="G23" s="41"/>
    </row>
    <row r="24" spans="2:7" x14ac:dyDescent="0.25">
      <c r="B24" s="53" t="s">
        <v>42</v>
      </c>
      <c r="C24" s="51" t="s">
        <v>30</v>
      </c>
      <c r="D24" s="51">
        <v>6</v>
      </c>
      <c r="E24" s="49">
        <v>24.21</v>
      </c>
      <c r="F24" s="40">
        <f>D24*E24</f>
        <v>145.26</v>
      </c>
      <c r="G24" s="52">
        <v>0</v>
      </c>
    </row>
    <row r="25" spans="2:7" x14ac:dyDescent="0.25">
      <c r="B25" s="53" t="s">
        <v>43</v>
      </c>
      <c r="C25" s="51" t="s">
        <v>30</v>
      </c>
      <c r="D25" s="51">
        <v>1</v>
      </c>
      <c r="E25" s="49">
        <v>19.3</v>
      </c>
      <c r="F25" s="40">
        <f>D25*E25</f>
        <v>19.3</v>
      </c>
      <c r="G25" s="52">
        <v>0</v>
      </c>
    </row>
    <row r="26" spans="2:7" x14ac:dyDescent="0.25">
      <c r="B26" s="53" t="s">
        <v>44</v>
      </c>
      <c r="C26" s="51" t="s">
        <v>30</v>
      </c>
      <c r="D26" s="51">
        <v>1</v>
      </c>
      <c r="E26" s="49">
        <v>29.42</v>
      </c>
      <c r="F26" s="40">
        <f t="shared" ref="F26:F30" si="0">D26*E26</f>
        <v>29.42</v>
      </c>
      <c r="G26" s="52">
        <v>0</v>
      </c>
    </row>
    <row r="27" spans="2:7" x14ac:dyDescent="0.25">
      <c r="B27" s="53" t="s">
        <v>45</v>
      </c>
      <c r="C27" s="51" t="s">
        <v>30</v>
      </c>
      <c r="D27" s="51">
        <v>1</v>
      </c>
      <c r="E27" s="49">
        <v>5.89</v>
      </c>
      <c r="F27" s="40">
        <f t="shared" si="0"/>
        <v>5.89</v>
      </c>
      <c r="G27" s="52">
        <v>0</v>
      </c>
    </row>
    <row r="28" spans="2:7" x14ac:dyDescent="0.25">
      <c r="B28" s="53" t="s">
        <v>46</v>
      </c>
      <c r="C28" s="51" t="s">
        <v>30</v>
      </c>
      <c r="D28" s="51">
        <v>1</v>
      </c>
      <c r="E28" s="49">
        <v>4.2</v>
      </c>
      <c r="F28" s="40">
        <f t="shared" si="0"/>
        <v>4.2</v>
      </c>
      <c r="G28" s="52">
        <v>0</v>
      </c>
    </row>
    <row r="29" spans="2:7" x14ac:dyDescent="0.25">
      <c r="B29" s="53" t="s">
        <v>47</v>
      </c>
      <c r="C29" s="51" t="s">
        <v>30</v>
      </c>
      <c r="D29" s="51">
        <v>10</v>
      </c>
      <c r="E29" s="49">
        <v>6.03</v>
      </c>
      <c r="F29" s="40">
        <f t="shared" si="0"/>
        <v>60.300000000000004</v>
      </c>
      <c r="G29" s="52">
        <v>0</v>
      </c>
    </row>
    <row r="30" spans="2:7" x14ac:dyDescent="0.25">
      <c r="B30" s="53" t="s">
        <v>48</v>
      </c>
      <c r="C30" s="51" t="s">
        <v>30</v>
      </c>
      <c r="D30" s="51">
        <v>5</v>
      </c>
      <c r="E30" s="49">
        <v>35.22</v>
      </c>
      <c r="F30" s="40">
        <f t="shared" si="0"/>
        <v>176.1</v>
      </c>
      <c r="G30" s="52">
        <v>0</v>
      </c>
    </row>
    <row r="31" spans="2:7" x14ac:dyDescent="0.25">
      <c r="B31" s="53"/>
      <c r="C31" s="51"/>
      <c r="D31" s="29"/>
      <c r="E31" s="40"/>
      <c r="F31" s="40"/>
      <c r="G31" s="52"/>
    </row>
    <row r="32" spans="2:7" x14ac:dyDescent="0.25">
      <c r="B32" s="53"/>
      <c r="C32" s="51"/>
      <c r="D32" s="29"/>
      <c r="E32" s="40"/>
      <c r="F32" s="40"/>
      <c r="G32" s="52"/>
    </row>
    <row r="33" spans="2:14" ht="15.75" thickBot="1" x14ac:dyDescent="0.3">
      <c r="B33" s="56"/>
      <c r="C33" s="54"/>
      <c r="D33" s="30"/>
      <c r="E33" s="50"/>
      <c r="F33" s="50"/>
      <c r="G33" s="55"/>
    </row>
    <row r="34" spans="2:14" ht="15" customHeight="1" x14ac:dyDescent="0.25">
      <c r="B34" s="89"/>
      <c r="C34" s="90"/>
      <c r="D34" s="73" t="s">
        <v>12</v>
      </c>
      <c r="E34" s="74"/>
      <c r="F34" s="71">
        <f>F24+F25+F26+F27+F28+F29+F30+F31+F32+F33</f>
        <v>440.47</v>
      </c>
      <c r="G34" s="72"/>
    </row>
    <row r="35" spans="2:14" ht="15" customHeight="1" x14ac:dyDescent="0.25">
      <c r="B35" s="89"/>
      <c r="C35" s="90"/>
      <c r="D35" s="75" t="s">
        <v>31</v>
      </c>
      <c r="E35" s="76"/>
      <c r="F35" s="68"/>
      <c r="G35" s="69"/>
      <c r="M35" s="88"/>
      <c r="N35" s="88"/>
    </row>
    <row r="36" spans="2:14" x14ac:dyDescent="0.25">
      <c r="B36" s="89"/>
      <c r="C36" s="90"/>
      <c r="D36" s="75" t="s">
        <v>32</v>
      </c>
      <c r="E36" s="76"/>
      <c r="F36" s="68"/>
      <c r="G36" s="69"/>
      <c r="M36" s="88"/>
      <c r="N36" s="88"/>
    </row>
    <row r="37" spans="2:14" ht="15.75" customHeight="1" thickBot="1" x14ac:dyDescent="0.3">
      <c r="B37" s="91"/>
      <c r="C37" s="92"/>
      <c r="D37" s="75" t="s">
        <v>33</v>
      </c>
      <c r="E37" s="76"/>
      <c r="F37" s="68">
        <v>10.57</v>
      </c>
      <c r="G37" s="69"/>
      <c r="H37" s="26"/>
      <c r="M37" s="88"/>
      <c r="N37" s="88"/>
    </row>
    <row r="38" spans="2:14" ht="15.75" thickBot="1" x14ac:dyDescent="0.3">
      <c r="B38" s="14"/>
      <c r="C38" s="21"/>
      <c r="D38" s="105" t="s">
        <v>10</v>
      </c>
      <c r="E38" s="106"/>
      <c r="F38" s="107">
        <f>F34-F37</f>
        <v>429.90000000000003</v>
      </c>
      <c r="G38" s="108"/>
      <c r="H38" s="27"/>
    </row>
    <row r="39" spans="2:14" ht="15" customHeight="1" x14ac:dyDescent="0.25">
      <c r="B39" s="22"/>
      <c r="C39" s="20"/>
      <c r="D39" s="20"/>
      <c r="E39" s="46"/>
      <c r="F39" s="18"/>
      <c r="G39" s="13"/>
      <c r="H39" s="27"/>
    </row>
    <row r="40" spans="2:14" ht="15" customHeight="1" x14ac:dyDescent="0.25">
      <c r="B40" s="14"/>
      <c r="C40" s="17"/>
      <c r="D40" s="17"/>
      <c r="E40" s="46"/>
      <c r="F40" s="102"/>
      <c r="G40" s="103"/>
    </row>
    <row r="41" spans="2:14" ht="21" customHeight="1" thickBot="1" x14ac:dyDescent="0.3">
      <c r="B41" s="23"/>
      <c r="C41" s="17"/>
      <c r="D41" s="17"/>
      <c r="E41" s="95"/>
      <c r="F41" s="95"/>
      <c r="G41" s="96"/>
    </row>
    <row r="42" spans="2:14" x14ac:dyDescent="0.25">
      <c r="B42" s="12" t="s">
        <v>14</v>
      </c>
      <c r="C42" s="17"/>
      <c r="D42" s="17"/>
      <c r="E42" s="67" t="s">
        <v>27</v>
      </c>
      <c r="F42" s="67"/>
      <c r="G42" s="104"/>
    </row>
    <row r="43" spans="2:14" ht="15.75" thickBot="1" x14ac:dyDescent="0.3">
      <c r="B43" s="24" t="s">
        <v>13</v>
      </c>
      <c r="C43" s="25"/>
      <c r="D43" s="25"/>
      <c r="E43" s="93" t="s">
        <v>16</v>
      </c>
      <c r="F43" s="93"/>
      <c r="G43" s="94"/>
    </row>
    <row r="44" spans="2:14" x14ac:dyDescent="0.25">
      <c r="B44" s="1"/>
    </row>
  </sheetData>
  <mergeCells count="31">
    <mergeCell ref="Q12:S15"/>
    <mergeCell ref="M35:N37"/>
    <mergeCell ref="B34:C37"/>
    <mergeCell ref="E43:G43"/>
    <mergeCell ref="E41:G41"/>
    <mergeCell ref="F16:G16"/>
    <mergeCell ref="C15:E15"/>
    <mergeCell ref="F15:G15"/>
    <mergeCell ref="F37:G37"/>
    <mergeCell ref="D37:E37"/>
    <mergeCell ref="F40:G40"/>
    <mergeCell ref="E42:G42"/>
    <mergeCell ref="D38:E38"/>
    <mergeCell ref="F38:G38"/>
    <mergeCell ref="C19:D19"/>
    <mergeCell ref="C7:G7"/>
    <mergeCell ref="C3:F4"/>
    <mergeCell ref="C8:F8"/>
    <mergeCell ref="F35:G35"/>
    <mergeCell ref="F36:G36"/>
    <mergeCell ref="C11:D11"/>
    <mergeCell ref="F34:G34"/>
    <mergeCell ref="D34:E34"/>
    <mergeCell ref="D35:E35"/>
    <mergeCell ref="D36:E36"/>
    <mergeCell ref="C16:E16"/>
    <mergeCell ref="F14:G14"/>
    <mergeCell ref="C9:D9"/>
    <mergeCell ref="E9:G10"/>
    <mergeCell ref="E11:G11"/>
    <mergeCell ref="E12:G12"/>
  </mergeCells>
  <pageMargins left="0.39370078740157483" right="0.23622047244094491" top="0.74803149606299213" bottom="0.74803149606299213" header="0.31496062992125984" footer="0.31496062992125984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Usuario</cp:lastModifiedBy>
  <cp:lastPrinted>2018-11-07T12:35:37Z</cp:lastPrinted>
  <dcterms:created xsi:type="dcterms:W3CDTF">2018-07-17T18:18:41Z</dcterms:created>
  <dcterms:modified xsi:type="dcterms:W3CDTF">2026-03-31T19:56:56Z</dcterms:modified>
</cp:coreProperties>
</file>